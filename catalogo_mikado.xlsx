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\Documents\Antigravity Proyectos\Mikado\"/>
    </mc:Choice>
  </mc:AlternateContent>
  <bookViews>
    <workbookView xWindow="0" yWindow="0" windowWidth="12330" windowHeight="6930"/>
  </bookViews>
  <sheets>
    <sheet name="Catálogo Mikado Skincare" sheetId="1" r:id="rId1"/>
  </sheets>
  <definedNames>
    <definedName name="_xlnm._FilterDatabase" localSheetId="0" hidden="1">'Catálogo Mikado Skincare'!$A$1:$H$57</definedName>
  </definedNames>
  <calcPr calcId="15251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2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2" i="1"/>
  <c r="N1" i="1"/>
</calcChain>
</file>

<file path=xl/sharedStrings.xml><?xml version="1.0" encoding="utf-8"?>
<sst xmlns="http://schemas.openxmlformats.org/spreadsheetml/2006/main" count="344" uniqueCount="233">
  <si>
    <t>Codigo</t>
  </si>
  <si>
    <t>Marca</t>
  </si>
  <si>
    <t>Producto</t>
  </si>
  <si>
    <t>Categoria</t>
  </si>
  <si>
    <t>Precio</t>
  </si>
  <si>
    <t>Stock</t>
  </si>
  <si>
    <t>Descuento</t>
  </si>
  <si>
    <t>Descripcion</t>
  </si>
  <si>
    <t>MKD-001</t>
  </si>
  <si>
    <t>Solares</t>
  </si>
  <si>
    <t>Protector solar orgánico ligero con 30% extracto de arroz. No deja capa blanca.</t>
  </si>
  <si>
    <t>MKD-002</t>
  </si>
  <si>
    <t>COSRX</t>
  </si>
  <si>
    <t>Serums</t>
  </si>
  <si>
    <t>Esencia con 96% mucina de caracol. Repara la barrera cutánea y aporta brillo Glass Skin.</t>
  </si>
  <si>
    <t>MKD-003</t>
  </si>
  <si>
    <t>Tonicos</t>
  </si>
  <si>
    <t>Tónico calmante para pieles sensibles y propensas a rojeces o acné.</t>
  </si>
  <si>
    <t>MKD-004</t>
  </si>
  <si>
    <t>Serum concentrado 100% Centella Asiática. Calma e hidrata intensamente.</t>
  </si>
  <si>
    <t>MKD-005</t>
  </si>
  <si>
    <t>Mascarillas</t>
  </si>
  <si>
    <t>Mascarilla nocturna de labios de frutos rojos. Hidratación profunda 24h.</t>
  </si>
  <si>
    <t>MKD-006</t>
  </si>
  <si>
    <t>Limpiadores</t>
  </si>
  <si>
    <t>Aceite limpiador hidrofílico con 14 aceites vegetales. Remueve todo el maquillaje.</t>
  </si>
  <si>
    <t>APLB</t>
  </si>
  <si>
    <t>Crema Corporal</t>
  </si>
  <si>
    <t>Es una crema corporal hidratante y despigmentante, formulada con ácido tranexámico y niacinamida, diseñada para unificar el tono de la piel, aclarar manchas oscuras y calmar la sequedad sin dejar sensación pegajosa.</t>
  </si>
  <si>
    <t>La Loción Corporal Glutathione Niacinamide de APLB aporta un efecto iluminador y suavizante a tu rutina diaria de cuidado corporal.</t>
  </si>
  <si>
    <t>ARENCIA</t>
  </si>
  <si>
    <t>CELIMAX</t>
  </si>
  <si>
    <t>DR ALTHEA</t>
  </si>
  <si>
    <t>MARY &amp; MAY</t>
  </si>
  <si>
    <t>MEDICUBE</t>
  </si>
  <si>
    <t>MIXSOON</t>
  </si>
  <si>
    <t>NINELESS</t>
  </si>
  <si>
    <t>PURITO</t>
  </si>
  <si>
    <t>ROUND LAB</t>
  </si>
  <si>
    <t>SEOUL 1988</t>
  </si>
  <si>
    <t>SKIN 1004</t>
  </si>
  <si>
    <t>TOCOBO</t>
  </si>
  <si>
    <t>UNLEASHIA</t>
  </si>
  <si>
    <t>Make up</t>
  </si>
  <si>
    <t>Hidratante</t>
  </si>
  <si>
    <t>Kit</t>
  </si>
  <si>
    <t>Set de Prueba The Real Noni Starter Kit</t>
  </si>
  <si>
    <t>Kit de Prueba 9-Pasos</t>
  </si>
  <si>
    <t>Set imprescindible con los esenciales de la línea Madagascar Centella en tamaño miniatura. Incluye limpiador, tónico, ampolla y cremas para mantener una rutina calmante e hidratante vayas a donde vayas.</t>
  </si>
  <si>
    <t>Sérum facial concentrado formulado con extracto de hisopo sagrado. Calma las pieles irritadas, restaura la barrera cutánea y proporciona un impulso intensivo de hidratación y vitalidad. Perfecto para devolverle el confort, equilibrio y frescura a rostros cansados o sensibles.</t>
  </si>
  <si>
    <t>Tratamiento intensivo para la mirada enriquecido con retinal y extracto de ginseng. Su fórmula suave pero eficaz ayuda a atenuar líneas de expresión, combatir ojeras y firmeza en la delicada zona de los ojos, dejando la mirada descansada, juvenil y rejuvenecida.</t>
  </si>
  <si>
    <t>Un potente sérum regenerador que une el poder antioxidante del ginseng con la nutrición de la mucina de caracol. Repara la piel dañada, combate los signos del envejecimiento y mejora la elasticidad para revelar un rostro firme, hidratado y lleno de vitalidad natural.</t>
  </si>
  <si>
    <t>Protector solar ligero diseñado especialmente para pieles mixtas a grasas. Ofrece alta protección UV mientras controla el exceso de sebo y los brillos durante todo el día. De acabado fresco y mate, no deja rastro blanco ni obstruye los poros.</t>
  </si>
  <si>
    <t>El kit de iniciación perfecto para descubrir las bondades del fruto de Noni. Contiene una rutina completa en formato viaje diseñada para calmar, nutrir y revitalizar la piel estresada o sensible. Ideal para llevar a todos lados o probar antes del tamaño regular.</t>
  </si>
  <si>
    <t>Limpiador facial en espuma microburbujeante enriquecido con extracto de Noni y activos antiacné. Limpia suavemente en profundidad, purifica los poros sin resecar y ayuda a calmar brotes y rojeces. Deja la piel limpia, suave y totalmente equilibrada.</t>
  </si>
  <si>
    <t>Aceite limpiador con aceite de jojoba que disuelve eficazmente el maquillaje, la grasa acumulada y los puntos negros sin irritar. Se emulsiona fácilmente con agua, dejando la piel limpia, fresca, profundamente purificada y libre de impurezas.</t>
  </si>
  <si>
    <t>Tratamiento especializado para difuminar manchas hiperpigmentadas y minimizar la apariencia de los poros dilatados. Formulado para unificar el tono de la piel, devolver el brillo natural y mejorar la textura cutánea, dejando el rostro uniforme y radiante.</t>
  </si>
  <si>
    <t>Fotoprotección práctica y sin retoques complicados. Este protector solar en formato barra ofrece alta protección UV con efecto matificante. Controla la grasa, se desliza suavemente sobre la piel (incluso sobre el maquillaje) y es ideal para llevar en el bolso.</t>
  </si>
  <si>
    <t>Booster antiedad avanzado enriquecido con retinal. Ayuda a estimular la renovación celular, afinar la textura de la piel y mejorar visiblemente la firmeza y elasticidad. Un potente aliado para atenuar arrugas y revitalizar la tez con resultados profesionales.</t>
  </si>
  <si>
    <t>Ampolla nutritiva concentrada con extracto de superalimento Noni en presentación compacta. Aporta un alivio inmediato a la piel sensible, fortalece la barrera cutánea y proporciona una luminosidad saludable.</t>
  </si>
  <si>
    <t>Crema hidratante y calmante de textura ligera tipo gel. Formulada para restaurar la piel dañada, suavizar rojeces e irritaciones y reparar la barrera cutánea. Aporta confort duradero y una hidratación profunda sin dejar sensación grasosa.</t>
  </si>
  <si>
    <t>Tónico iluminador formulado con un 77.78% de extracto de arroz puro. Hidrata profundamente, suaviza las zonas ásperas y aporta un efecto glass skin radiante. Su textura bifásica equilibra la hidratación y nutrición de la piel cansada u opaca.</t>
  </si>
  <si>
    <t>Mascarillas faciales impregnadas en colágeno marino de bajo peso molecular. Diseñadas para devolver la elasticidad, firmeza y humectación al rostro. Un tratamiento intensivo diario para lucir una piel tersa, lisa, rejuvenecida y llena de vida.</t>
  </si>
  <si>
    <t>Mascarilla nutritiva enriquecida con ADN de salmón (PDRN). Ayuda a revitalizar la piel, potenciar la elasticidad y regenerar los tejidos apagados o dañados. Proporciona una recarga de hidratación y un acabado suave, terso y luminoso.</t>
  </si>
  <si>
    <t>Mascarilla de gel refrescante que se adhiere perfectamente al contorno facial para una máxima absorción de activos. Calma al instante la piel estresada, cierra visiblemente los poros e hidrata en profundidad, dejando un efecto de spa en casa.</t>
  </si>
  <si>
    <t>Crema hidratante iluminadora formulada con alta concentración de vitamina C. Ayuda a aclarar manchas, combatir la opacidad y proteger el rostro contra los radicales libres. Para una piel visiblemente más brillante, uniforme y vital.</t>
  </si>
  <si>
    <t>Descubre la rutina coreana minimalista en su máxima expresión. Este kit contiene 9 muestras esenciales para limpiar, tonificar e hidratar la piel según sus necesidades. Perfecto para viajes o para probar los favoritos de la marca Mixsoon.</t>
  </si>
  <si>
    <t>Aceite limpiador formulado con ingredientes naturales que retira eficazmente el maquillaje de larga duración, protector solar e impurezas de los poros. Mantiene la piel suave e hidratada tras el lavado sin romper la barrera cutánea.</t>
  </si>
  <si>
    <t>Crema facial de fórmula limpia e ingredientes esenciales que proporciona hidratación profunda y duradera. Restaura la flexibilidad cutánea y calma la irritación sin obstruir poros. Ideal para todo tipo de pieles, incluso las más sensibles.</t>
  </si>
  <si>
    <t>Esencia pura concentrada al 100% en extracto de Centella Asiática. Alivia de inmediato el enrojecimiento, disminuye inflamaciones y refuerza la barrera protectora de la piel. Indispensable para pieles sensibles, reactivas o con tendencia al acné.</t>
  </si>
  <si>
    <t>Esencia viral rica en aminoácidos procedentes de la fermentación de soja. Funciona como exfoliante suave y tratamiento ultra-hidratante: remueve células muertas, regula el sebo y deja la textura de la piel sumamente suave y reluciente.</t>
  </si>
  <si>
    <t>Sérum formulado con ácido azelaico, ideal para tratar el acné, atenuar marcas post-inflamatorias y controlar las rojeces. Unifica la textura y el tono del rostro mientras limpia suavemente los poros, manteniendo la piel clara y uniforme.</t>
  </si>
  <si>
    <t>Sérum reconfortante enriquecido con extracto de Centella Asiática y niacinamida. Calma al instante la piel irritada, combate brotes y ayuda a reparar la barrera cutánea dañada. Su fórmula suave aporta hidratación equilibrada sin recargar la piel.</t>
  </si>
  <si>
    <t>Crema hidratante intensiva a base de extracto de bambú y pantenol (Pro-Vitamina B5). Fortalece de inmediato la barrera cutánea, sella la humedad y protege la piel sensible del estrés ambiental. Deja el rostro reconfortado, elástico y saludable.</t>
  </si>
  <si>
    <t>Protector solar en formato cushion práctico y portátil. Permite reaplicar la protección solar a lo largo del día sin alterar el maquillaje. Aporta un efecto refrescante, calmante e hidratante con acabado natural y sin residuo pegajoso.</t>
  </si>
  <si>
    <t>Crema especializada para el contorno de ojos formulada con retinal y activos tradicionales. Ayuda a atenuar líneas de expresión, reafirmar los párpados y reducir la apariencia de cansancio. Deja la zona periocular firme, suave e hidratada.</t>
  </si>
  <si>
    <t>Sérum antiedad potente diseñado para combatir los signos del paso del tiempo. Estimula la renovación celular, mejora la firmeza y alisa las arrugas finas, dejando el rostro visiblemente más joven, firme y uniforme.</t>
  </si>
  <si>
    <t>Limpiador facial suave enriquecido con Centella Asiática de Madagascar. Elimina suciedad, restos de maquillaje y exceso de sebo de forma delicada, manteniendo el pH natural de la piel e impidiendo la tirantez o resequedad tras la limpieza.</t>
  </si>
  <si>
    <t>Crema en gel ultra-ligera enriquecida con sal rosada del Himalaya. Ayuda a minimizar los poros dilatados, regula el exceso de grasa y proporciona una frescura e hidratación equilibrada ideal para pieles mixtas a grasas.</t>
  </si>
  <si>
    <t>Protección solar de amplio espectro con efecto terciopelo. Su fórmula ayuda a controlar el sebo y la visibilidad de los poros mientras protege de los rayos UV. Deja un acabado suave, mate y sedoso sin sensación pesada.</t>
  </si>
  <si>
    <t>Crema hidratante diseñada para reparar y calmar pieles sensibilizadas o irritadas. Enriquecida con ceramidas y centella asiática, restaura la barrera cutánea manteniendo el rostro hidratado, suave y libre de rojeces.</t>
  </si>
  <si>
    <t>Set de mini ampollas altamente concentradas. Ideales para probar diferentes tratamientos según las necesidades diarias de tu piel: hidratación, calma, luminosidad o cuidado de poros en un formato práctico y portable.</t>
  </si>
  <si>
    <t>Tónico exfoliante suave con AHA y sal rosada del Himalaya. Limpia a fondo los poros, elimina células muertas y prepara la piel para los siguientes pasos de la rutina, dejándola lisa, uniforme y libre de exceso de sebo.</t>
  </si>
  <si>
    <t>Espuma de limpieza profunda enriquecida con extracto de sal rosada. Elimina eficazmente las impurezas acumuladas en los poros y limpia el exceso de grasa, manteniendo la piel fresca, clara y equilibrada.</t>
  </si>
  <si>
    <t>Contorno de ojos formulado con Probio-Cica fermentada y Bakuchiol (la alternativa natural al retinol). Suaviza las líneas de expresión, fortalece la barrera de la piel delicada y combate la hinchazón y las ojeras sin irritar.</t>
  </si>
  <si>
    <t>Tónico diario exfoliante e hidratante enriquecido con PHA. Remueve suavemente las células muertas sin irritar la piel, calma las rojeces y equilibra el rostro, dejándolo preparado para una absorción óptima de tus sérums.</t>
  </si>
  <si>
    <t>Ampolla concentrada en formato mini con microcápsulas iluminadoras. Ayuda a unificar el tono de la piel, atenúa manchas e hiperpigmentación y devuelve la luminosidad natural a los rostros fatigados.</t>
  </si>
  <si>
    <t>Bloqueador solar físico de textura ultraligera que se absorbe sin dejar capa blanca ni sensación grasa. Ofrece alta protección UV mientras calma la piel sensible gracias a su contenido de Centella Asiática.</t>
  </si>
  <si>
    <t>Protector solar de base acuosa formulado con extracto de mungo y ácido hialurónico. Se absorbe al instante aportando una hidratación profunda y fresca. No deja sensación grasosa ni marcas blancas, perfecto para el uso diario.</t>
  </si>
  <si>
    <t>Aceite labial nutritivo que combina un toque de color jugoso con un ligero efecto plumping (volumen). Enriquecido con extractos de bayas, aporta hidratación duradera, suavidad extrema y un acabado superbrillante no pegajoso.</t>
  </si>
  <si>
    <t>Limpiador facial en espuma enriquecido con arcilla rosa y extracto de coco. Absorbe las impurezas y el exceso de grasa atrapados en los poros mientras mantiene la hidratación natural de la piel sin sensación de tirantez.</t>
  </si>
  <si>
    <t>Tratamiento fotoprotector completo con 3 versiones de bloqueadores solares de la marca. La opción perfecta para probar o adaptar el tipo de protección solar a las necesidades diarias de tu piel (en barra, crema o textura acuosa).</t>
  </si>
  <si>
    <t>Paleta de sombras con una combinación perfecta de tonos mate sedosos y destellos deslumbrantes. Altamente pigmentadas y fáciles de difuminar, ideales para crear looks diarios sutiles o maquillajes de noche impactantes.</t>
  </si>
  <si>
    <t>Gel fijador de cejas de larga duración que peina, define y mantiene cada pelo en su lugar durante todo el día. No deja residuos blancos ni sensación rígida, logrando un acabado natural y pulido.</t>
  </si>
  <si>
    <t>Tamaño</t>
  </si>
  <si>
    <t>50ml</t>
  </si>
  <si>
    <t>100ml</t>
  </si>
  <si>
    <t>NO TENGO</t>
  </si>
  <si>
    <t>200ml</t>
  </si>
  <si>
    <t>300ml</t>
  </si>
  <si>
    <t>50g</t>
  </si>
  <si>
    <t>30ml</t>
  </si>
  <si>
    <t>10ml</t>
  </si>
  <si>
    <t>40ml</t>
  </si>
  <si>
    <t>155ml</t>
  </si>
  <si>
    <t>150ml</t>
  </si>
  <si>
    <t>19g</t>
  </si>
  <si>
    <t>15ml</t>
  </si>
  <si>
    <t>210ml</t>
  </si>
  <si>
    <t>125ml</t>
  </si>
  <si>
    <t>75ml</t>
  </si>
  <si>
    <t>20ml</t>
  </si>
  <si>
    <t>4g</t>
  </si>
  <si>
    <t>N°3</t>
  </si>
  <si>
    <t>11g cada uno</t>
  </si>
  <si>
    <t>20ml-30ml cada uno</t>
  </si>
  <si>
    <t>60ml</t>
  </si>
  <si>
    <t>28g</t>
  </si>
  <si>
    <t>195ml</t>
  </si>
  <si>
    <t>55g</t>
  </si>
  <si>
    <t>400g</t>
  </si>
  <si>
    <t>N°1</t>
  </si>
  <si>
    <t>MKD-007</t>
  </si>
  <si>
    <t>MKD-008</t>
  </si>
  <si>
    <t>MKD-009</t>
  </si>
  <si>
    <t>MKD-010</t>
  </si>
  <si>
    <t>MKD-011</t>
  </si>
  <si>
    <t>MKD-012</t>
  </si>
  <si>
    <t>MKD-013</t>
  </si>
  <si>
    <t>MKD-014</t>
  </si>
  <si>
    <t>MKD-015</t>
  </si>
  <si>
    <t>MKD-016</t>
  </si>
  <si>
    <t>MKD-017</t>
  </si>
  <si>
    <t>MKD-018</t>
  </si>
  <si>
    <t>MKD-019</t>
  </si>
  <si>
    <t>MKD-020</t>
  </si>
  <si>
    <t>MKD-021</t>
  </si>
  <si>
    <t>MKD-022</t>
  </si>
  <si>
    <t>MKD-023</t>
  </si>
  <si>
    <t>MKD-024</t>
  </si>
  <si>
    <t>MKD-025</t>
  </si>
  <si>
    <t>MKD-026</t>
  </si>
  <si>
    <t>MKD-027</t>
  </si>
  <si>
    <t>MKD-028</t>
  </si>
  <si>
    <t>MKD-029</t>
  </si>
  <si>
    <t>MKD-030</t>
  </si>
  <si>
    <t>MKD-031</t>
  </si>
  <si>
    <t>MKD-032</t>
  </si>
  <si>
    <t>MKD-033</t>
  </si>
  <si>
    <t>MKD-034</t>
  </si>
  <si>
    <t>MKD-035</t>
  </si>
  <si>
    <t>MKD-036</t>
  </si>
  <si>
    <t>MKD-037</t>
  </si>
  <si>
    <t>MKD-038</t>
  </si>
  <si>
    <t>MKD-039</t>
  </si>
  <si>
    <t>MKD-040</t>
  </si>
  <si>
    <t>MKD-041</t>
  </si>
  <si>
    <t>MKD-042</t>
  </si>
  <si>
    <t>MKD-043</t>
  </si>
  <si>
    <t>MKD-044</t>
  </si>
  <si>
    <t>MKD-045</t>
  </si>
  <si>
    <t>MKD-046</t>
  </si>
  <si>
    <t>MKD-047</t>
  </si>
  <si>
    <t>MKD-048</t>
  </si>
  <si>
    <t>MKD-049</t>
  </si>
  <si>
    <t>MKD-050</t>
  </si>
  <si>
    <t>MKD-051</t>
  </si>
  <si>
    <t>MKD-052</t>
  </si>
  <si>
    <t>MKD-053</t>
  </si>
  <si>
    <t>MKD-054</t>
  </si>
  <si>
    <t>MKD-055</t>
  </si>
  <si>
    <t>MKD-056</t>
  </si>
  <si>
    <t>Bloqueador Cushion</t>
  </si>
  <si>
    <t>Paleta de Sombras N°3</t>
  </si>
  <si>
    <t>Gel de Cejas N°1</t>
  </si>
  <si>
    <t>Set de 3 Bloqueadores - 11g</t>
  </si>
  <si>
    <t>Relief Sun: Rice + Probiotics SPF50+ PA++++ - 50ml</t>
  </si>
  <si>
    <t>Advanced Snail 96 Mucin Power Essence - 100ml</t>
  </si>
  <si>
    <t>Heartleaf 77% Soothing Toner - 250ml</t>
  </si>
  <si>
    <t>Madagascar Centella Ampoule - 100ml</t>
  </si>
  <si>
    <t>Lip Sleeping Mask EX [Berry] - 20g</t>
  </si>
  <si>
    <t>Pure Cleansing Oil - 200ml</t>
  </si>
  <si>
    <t>Tranexamic Acid Niacinamide Body Lotion - 300ml</t>
  </si>
  <si>
    <t>Loción Corporal Glutathione Niacinamide - 300ml</t>
  </si>
  <si>
    <t>Holy Hyssop Serum 30 - 50g</t>
  </si>
  <si>
    <t>Sérum Contorno de Ojos Revive Eye Serum - 30ml</t>
  </si>
  <si>
    <t>Revive Serum: Ginseng + Snail Mucin - 10ml</t>
  </si>
  <si>
    <t>Protector Solar Oil Control Light Sunscreen - 40ml</t>
  </si>
  <si>
    <t>Limpiador en Burbujas para Acné The Real Noni - 155ml</t>
  </si>
  <si>
    <t>Aceite Limpiador Derma Nature Fresh Blackhead Jojoba Cleansing Oil - 150ml</t>
  </si>
  <si>
    <t>Sérum Iluminador Pore + Dark Spot Brightening - 30ml</t>
  </si>
  <si>
    <t>Protector Solar en Barra Oil Control Mattifying - 19g</t>
  </si>
  <si>
    <t>Sérum Facial The Vita-A Retinal Shot Tightening Booster - 15ml</t>
  </si>
  <si>
    <t>Ampolla Facial Noni Ampoule Calming + Radiance - 100ml</t>
  </si>
  <si>
    <t xml:space="preserve">Ampolla Facial Noni Ampoule Calming + Radiance - 30ml </t>
  </si>
  <si>
    <t xml:space="preserve">Ampolla Facial Noni Ampoule Calming + Radiance - 50ml </t>
  </si>
  <si>
    <t>Crema 345 Relief - 50ml</t>
  </si>
  <si>
    <t>Tónico de Arroz - 150ml</t>
  </si>
  <si>
    <t>Mask Collagen - 400g</t>
  </si>
  <si>
    <t>Mascarilla de Salmón - 28g</t>
  </si>
  <si>
    <t>Mascarilla Gel - 75ml</t>
  </si>
  <si>
    <t>Crema Hidratante Vitamin C - 55g</t>
  </si>
  <si>
    <t>Aceite Limpiador - 195ml</t>
  </si>
  <si>
    <t>Esencia Centella Asiática - 100ml</t>
  </si>
  <si>
    <t>Crema Hidratante - 50ml</t>
  </si>
  <si>
    <t>Bean Essence - 50ml</t>
  </si>
  <si>
    <t>Ácido Azelaico - 30ml</t>
  </si>
  <si>
    <t>Serum Centella - 60ml</t>
  </si>
  <si>
    <t>Crema con Pantenol Mighty Bamboo - 100ml</t>
  </si>
  <si>
    <t>Retinal Crema Antiedad para Ojos - 30ml</t>
  </si>
  <si>
    <t>Retinal Serum - 30ml</t>
  </si>
  <si>
    <t>Espuma Limpiadora Madagascar Centella - 125ml</t>
  </si>
  <si>
    <t>Crema Hidratante Madagascar Centella Poremizing Light Gel Cream - 75ml</t>
  </si>
  <si>
    <t>Protector Solar Madagascar Centella Poremizing Velvet Finish Sunscreen - 50ml</t>
  </si>
  <si>
    <t>Kit de viaje Madagascar Centella - 30ml</t>
  </si>
  <si>
    <t>Crema Calmante Madagascar Centella Soothing Cream - 75ml</t>
  </si>
  <si>
    <t>Mini Ampolla Facial - 30ml</t>
  </si>
  <si>
    <t>Tónico Facial Madagascar Centella Poremizing Clear Toner - 210ml</t>
  </si>
  <si>
    <t>Espuma Limpiadora Madagascar Centella Poremizing Deep Cleansing Foam - 125ml</t>
  </si>
  <si>
    <t>Crema de Ojos Madagascar Centella Probio-Cica Bakuchiol - 20ml</t>
  </si>
  <si>
    <t>Tónico Madagascar Centella Toning Toner - 210ml</t>
  </si>
  <si>
    <t>Mini Ampolla Facial Iluminadora Madagascar Centella Tone Brightening Capsule Ampoule Mini - 30ml</t>
  </si>
  <si>
    <t>Protector Solar Ligero Madagascar Centella Air Fit - 50ml</t>
  </si>
  <si>
    <t>Protector Solar Bio Watery Sun Cream - 50ml</t>
  </si>
  <si>
    <t>Aceite Labial Juicy Berry Plumping Lip Oil - 4g</t>
  </si>
  <si>
    <t>Espuma Limpiadora Coconut Clay - 150ml</t>
  </si>
  <si>
    <t>BEAUTY OF JOSEON</t>
  </si>
  <si>
    <t>ANUA</t>
  </si>
  <si>
    <t>LANEIGE</t>
  </si>
  <si>
    <t>Precio Fijo</t>
  </si>
  <si>
    <t>Stock Total</t>
  </si>
  <si>
    <t>I'M FROM</t>
  </si>
  <si>
    <t>Contorno de Ojos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</si>
</sst>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S/&quot;\ #,##0.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2D2727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48C95"/>
        <bgColor rgb="FFD48C9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3" fillId="3" borderId="3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4" borderId="0" xfId="0" applyFill="1" applyBorder="1"/>
    <xf numFmtId="165" fontId="0" fillId="0" borderId="0" xfId="0" applyNumberFormat="1" applyBorder="1"/>
    <xf numFmtId="10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zoomScale="70" zoomScaleNormal="70" workbookViewId="0">
      <selection activeCell="D1" sqref="D1"/>
    </sheetView>
  </sheetViews>
  <sheetFormatPr baseColWidth="10" defaultColWidth="9.140625" defaultRowHeight="15" x14ac:dyDescent="0.25"/>
  <cols>
    <col min="1" max="1" width="12" customWidth="1"/>
    <col min="2" max="2" width="21.7109375" bestFit="1" customWidth="1"/>
    <col min="3" max="3" width="74.140625" customWidth="1"/>
    <col min="4" max="4" width="20.140625" customWidth="1"/>
    <col min="5" max="5" width="19" customWidth="1"/>
    <col min="6" max="6" width="12" customWidth="1"/>
    <col min="7" max="7" width="17" customWidth="1"/>
    <col min="8" max="8" width="64.7109375" customWidth="1"/>
    <col min="9" max="9" width="5.42578125" style="12" customWidth="1"/>
    <col min="10" max="10" width="20.42578125" customWidth="1"/>
    <col min="11" max="11" width="9.140625" style="10"/>
    <col min="12" max="12" width="19.85546875" customWidth="1"/>
    <col min="13" max="13" width="15.5703125" style="10" customWidth="1"/>
    <col min="14" max="16384" width="9.140625" style="10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229</v>
      </c>
      <c r="L1" s="1" t="s">
        <v>94</v>
      </c>
      <c r="M1" s="9" t="s">
        <v>230</v>
      </c>
      <c r="N1" s="2">
        <f>SUM(F2:F937)</f>
        <v>122</v>
      </c>
    </row>
    <row r="2" spans="1:14" x14ac:dyDescent="0.25">
      <c r="A2" s="3" t="s">
        <v>8</v>
      </c>
      <c r="B2" s="4" t="s">
        <v>226</v>
      </c>
      <c r="C2" s="5" t="s">
        <v>176</v>
      </c>
      <c r="D2" s="6" t="s">
        <v>9</v>
      </c>
      <c r="E2" s="7">
        <v>94</v>
      </c>
      <c r="F2" s="8">
        <v>2</v>
      </c>
      <c r="G2" s="14">
        <f>1-J2/E2</f>
        <v>0.1063829787234043</v>
      </c>
      <c r="H2" s="5" t="s">
        <v>10</v>
      </c>
      <c r="J2" s="7">
        <v>84</v>
      </c>
      <c r="K2" s="13">
        <f>E2*(1-G2)</f>
        <v>84</v>
      </c>
      <c r="L2" s="6" t="s">
        <v>95</v>
      </c>
    </row>
    <row r="3" spans="1:14" x14ac:dyDescent="0.25">
      <c r="A3" s="3" t="s">
        <v>11</v>
      </c>
      <c r="B3" s="4" t="s">
        <v>12</v>
      </c>
      <c r="C3" s="5" t="s">
        <v>177</v>
      </c>
      <c r="D3" s="6" t="s">
        <v>13</v>
      </c>
      <c r="E3" s="7">
        <v>110</v>
      </c>
      <c r="F3" s="8">
        <v>2</v>
      </c>
      <c r="G3" s="14">
        <f t="shared" ref="G3:G57" si="0">1-J3/E3</f>
        <v>0.19999999999999996</v>
      </c>
      <c r="H3" s="5" t="s">
        <v>14</v>
      </c>
      <c r="J3" s="7">
        <v>88</v>
      </c>
      <c r="K3" s="13">
        <f t="shared" ref="K3:K57" si="1">E3*(1-G3)</f>
        <v>88</v>
      </c>
      <c r="L3" s="6" t="s">
        <v>96</v>
      </c>
    </row>
    <row r="4" spans="1:14" x14ac:dyDescent="0.25">
      <c r="A4" s="3" t="s">
        <v>15</v>
      </c>
      <c r="B4" s="4" t="s">
        <v>227</v>
      </c>
      <c r="C4" s="5" t="s">
        <v>178</v>
      </c>
      <c r="D4" s="6" t="s">
        <v>16</v>
      </c>
      <c r="E4" s="7">
        <v>99</v>
      </c>
      <c r="F4" s="8">
        <v>0</v>
      </c>
      <c r="G4" s="14">
        <f t="shared" si="0"/>
        <v>0.10101010101010099</v>
      </c>
      <c r="H4" s="5" t="s">
        <v>17</v>
      </c>
      <c r="J4" s="7">
        <v>89</v>
      </c>
      <c r="K4" s="13">
        <f t="shared" si="1"/>
        <v>89</v>
      </c>
      <c r="L4" s="6" t="s">
        <v>97</v>
      </c>
      <c r="M4" s="11"/>
    </row>
    <row r="5" spans="1:14" x14ac:dyDescent="0.25">
      <c r="A5" s="3" t="s">
        <v>18</v>
      </c>
      <c r="B5" s="4" t="s">
        <v>40</v>
      </c>
      <c r="C5" s="5" t="s">
        <v>179</v>
      </c>
      <c r="D5" s="6" t="s">
        <v>13</v>
      </c>
      <c r="E5" s="7">
        <v>102</v>
      </c>
      <c r="F5" s="8">
        <v>0</v>
      </c>
      <c r="G5" s="14">
        <f t="shared" si="0"/>
        <v>9.8039215686274495E-2</v>
      </c>
      <c r="H5" s="5" t="s">
        <v>19</v>
      </c>
      <c r="J5" s="7">
        <v>92</v>
      </c>
      <c r="K5" s="13">
        <f t="shared" si="1"/>
        <v>92</v>
      </c>
      <c r="L5" s="6" t="s">
        <v>97</v>
      </c>
    </row>
    <row r="6" spans="1:14" x14ac:dyDescent="0.25">
      <c r="A6" s="3" t="s">
        <v>20</v>
      </c>
      <c r="B6" s="4" t="s">
        <v>228</v>
      </c>
      <c r="C6" s="5" t="s">
        <v>180</v>
      </c>
      <c r="D6" s="6" t="s">
        <v>21</v>
      </c>
      <c r="E6" s="7">
        <v>75</v>
      </c>
      <c r="F6" s="8">
        <v>0</v>
      </c>
      <c r="G6" s="14">
        <f t="shared" si="0"/>
        <v>0</v>
      </c>
      <c r="H6" s="5" t="s">
        <v>22</v>
      </c>
      <c r="J6" s="7">
        <v>75</v>
      </c>
      <c r="K6" s="13">
        <f t="shared" si="1"/>
        <v>75</v>
      </c>
      <c r="L6" s="6" t="s">
        <v>97</v>
      </c>
    </row>
    <row r="7" spans="1:14" x14ac:dyDescent="0.25">
      <c r="A7" s="3" t="s">
        <v>23</v>
      </c>
      <c r="B7" s="4" t="s">
        <v>40</v>
      </c>
      <c r="C7" s="5" t="s">
        <v>181</v>
      </c>
      <c r="D7" s="6" t="s">
        <v>24</v>
      </c>
      <c r="E7" s="7">
        <v>99</v>
      </c>
      <c r="F7" s="8">
        <v>2</v>
      </c>
      <c r="G7" s="14">
        <f t="shared" si="0"/>
        <v>0</v>
      </c>
      <c r="H7" s="5" t="s">
        <v>25</v>
      </c>
      <c r="J7" s="7">
        <v>99</v>
      </c>
      <c r="K7" s="13">
        <f t="shared" si="1"/>
        <v>99</v>
      </c>
      <c r="L7" s="6" t="s">
        <v>98</v>
      </c>
    </row>
    <row r="8" spans="1:14" x14ac:dyDescent="0.25">
      <c r="A8" s="3" t="s">
        <v>122</v>
      </c>
      <c r="B8" s="4" t="s">
        <v>26</v>
      </c>
      <c r="C8" s="5" t="s">
        <v>182</v>
      </c>
      <c r="D8" s="6" t="s">
        <v>27</v>
      </c>
      <c r="E8" s="7">
        <v>120</v>
      </c>
      <c r="F8" s="8">
        <v>1</v>
      </c>
      <c r="G8" s="14">
        <f t="shared" si="0"/>
        <v>0.16666666666666663</v>
      </c>
      <c r="H8" s="5" t="s">
        <v>28</v>
      </c>
      <c r="J8" s="7">
        <v>100</v>
      </c>
      <c r="K8" s="13">
        <f t="shared" si="1"/>
        <v>100</v>
      </c>
      <c r="L8" s="6" t="s">
        <v>99</v>
      </c>
    </row>
    <row r="9" spans="1:14" x14ac:dyDescent="0.25">
      <c r="A9" s="3" t="s">
        <v>123</v>
      </c>
      <c r="B9" s="4" t="s">
        <v>26</v>
      </c>
      <c r="C9" s="5" t="s">
        <v>183</v>
      </c>
      <c r="D9" s="6" t="s">
        <v>27</v>
      </c>
      <c r="E9" s="7">
        <v>110</v>
      </c>
      <c r="F9" s="8">
        <v>1</v>
      </c>
      <c r="G9" s="14">
        <f t="shared" si="0"/>
        <v>9.0909090909090939E-2</v>
      </c>
      <c r="H9" s="5" t="s">
        <v>29</v>
      </c>
      <c r="J9" s="7">
        <v>100</v>
      </c>
      <c r="K9" s="13">
        <f t="shared" si="1"/>
        <v>100</v>
      </c>
      <c r="L9" s="6" t="s">
        <v>99</v>
      </c>
    </row>
    <row r="10" spans="1:14" x14ac:dyDescent="0.25">
      <c r="A10" s="3" t="s">
        <v>124</v>
      </c>
      <c r="B10" s="4" t="s">
        <v>30</v>
      </c>
      <c r="C10" s="5" t="s">
        <v>184</v>
      </c>
      <c r="D10" s="6" t="s">
        <v>13</v>
      </c>
      <c r="E10" s="7">
        <v>125</v>
      </c>
      <c r="F10" s="8">
        <v>3</v>
      </c>
      <c r="G10" s="14">
        <f t="shared" si="0"/>
        <v>0.20799999999999996</v>
      </c>
      <c r="H10" s="5" t="s">
        <v>49</v>
      </c>
      <c r="J10" s="7">
        <v>99</v>
      </c>
      <c r="K10" s="13">
        <f t="shared" si="1"/>
        <v>99</v>
      </c>
      <c r="L10" s="6" t="s">
        <v>100</v>
      </c>
    </row>
    <row r="11" spans="1:14" x14ac:dyDescent="0.25">
      <c r="A11" s="3" t="s">
        <v>125</v>
      </c>
      <c r="B11" s="4" t="s">
        <v>226</v>
      </c>
      <c r="C11" s="5" t="s">
        <v>185</v>
      </c>
      <c r="D11" s="6" t="s">
        <v>232</v>
      </c>
      <c r="E11" s="7">
        <v>90</v>
      </c>
      <c r="F11" s="8">
        <v>2</v>
      </c>
      <c r="G11" s="14">
        <f t="shared" si="0"/>
        <v>6.6666666666666652E-2</v>
      </c>
      <c r="H11" s="5" t="s">
        <v>50</v>
      </c>
      <c r="J11" s="7">
        <v>84</v>
      </c>
      <c r="K11" s="13">
        <f t="shared" si="1"/>
        <v>84</v>
      </c>
      <c r="L11" s="6" t="s">
        <v>101</v>
      </c>
    </row>
    <row r="12" spans="1:14" x14ac:dyDescent="0.25">
      <c r="A12" s="3" t="s">
        <v>126</v>
      </c>
      <c r="B12" s="4" t="s">
        <v>226</v>
      </c>
      <c r="C12" s="5" t="s">
        <v>186</v>
      </c>
      <c r="D12" s="6" t="s">
        <v>13</v>
      </c>
      <c r="E12" s="7">
        <v>25</v>
      </c>
      <c r="F12" s="8">
        <v>2</v>
      </c>
      <c r="G12" s="14">
        <f t="shared" si="0"/>
        <v>0.19999999999999996</v>
      </c>
      <c r="H12" s="5" t="s">
        <v>51</v>
      </c>
      <c r="J12" s="7">
        <v>20</v>
      </c>
      <c r="K12" s="13">
        <f t="shared" si="1"/>
        <v>20</v>
      </c>
      <c r="L12" s="6" t="s">
        <v>102</v>
      </c>
    </row>
    <row r="13" spans="1:14" x14ac:dyDescent="0.25">
      <c r="A13" s="3" t="s">
        <v>127</v>
      </c>
      <c r="B13" s="4" t="s">
        <v>31</v>
      </c>
      <c r="C13" s="5" t="s">
        <v>187</v>
      </c>
      <c r="D13" s="6" t="s">
        <v>9</v>
      </c>
      <c r="E13" s="7">
        <v>100</v>
      </c>
      <c r="F13" s="8">
        <v>2</v>
      </c>
      <c r="G13" s="14">
        <f t="shared" si="0"/>
        <v>7.999999999999996E-2</v>
      </c>
      <c r="H13" s="5" t="s">
        <v>52</v>
      </c>
      <c r="J13" s="7">
        <v>92</v>
      </c>
      <c r="K13" s="13">
        <f t="shared" si="1"/>
        <v>92</v>
      </c>
      <c r="L13" s="6" t="s">
        <v>103</v>
      </c>
    </row>
    <row r="14" spans="1:14" x14ac:dyDescent="0.25">
      <c r="A14" s="3" t="s">
        <v>128</v>
      </c>
      <c r="B14" s="4" t="s">
        <v>31</v>
      </c>
      <c r="C14" s="5" t="s">
        <v>46</v>
      </c>
      <c r="D14" s="6" t="s">
        <v>45</v>
      </c>
      <c r="E14" s="7">
        <v>110</v>
      </c>
      <c r="F14" s="8">
        <v>6</v>
      </c>
      <c r="G14" s="14">
        <f t="shared" si="0"/>
        <v>0</v>
      </c>
      <c r="H14" s="5" t="s">
        <v>53</v>
      </c>
      <c r="J14" s="7">
        <v>110</v>
      </c>
      <c r="K14" s="13">
        <f t="shared" si="1"/>
        <v>110</v>
      </c>
      <c r="L14" s="6"/>
    </row>
    <row r="15" spans="1:14" x14ac:dyDescent="0.25">
      <c r="A15" s="3" t="s">
        <v>129</v>
      </c>
      <c r="B15" s="4" t="s">
        <v>31</v>
      </c>
      <c r="C15" s="5" t="s">
        <v>188</v>
      </c>
      <c r="D15" s="6" t="s">
        <v>24</v>
      </c>
      <c r="E15" s="7">
        <v>110</v>
      </c>
      <c r="F15" s="8">
        <v>1</v>
      </c>
      <c r="G15" s="14">
        <f t="shared" si="0"/>
        <v>9.9999999999999978E-2</v>
      </c>
      <c r="H15" s="5" t="s">
        <v>54</v>
      </c>
      <c r="J15" s="7">
        <v>99</v>
      </c>
      <c r="K15" s="13">
        <f t="shared" si="1"/>
        <v>99</v>
      </c>
      <c r="L15" s="6" t="s">
        <v>104</v>
      </c>
    </row>
    <row r="16" spans="1:14" x14ac:dyDescent="0.25">
      <c r="A16" s="3" t="s">
        <v>130</v>
      </c>
      <c r="B16" s="4" t="s">
        <v>31</v>
      </c>
      <c r="C16" s="5" t="s">
        <v>189</v>
      </c>
      <c r="D16" s="6" t="s">
        <v>24</v>
      </c>
      <c r="E16" s="7">
        <v>105</v>
      </c>
      <c r="F16" s="8">
        <v>2</v>
      </c>
      <c r="G16" s="14">
        <f t="shared" si="0"/>
        <v>5.7142857142857162E-2</v>
      </c>
      <c r="H16" s="5" t="s">
        <v>55</v>
      </c>
      <c r="J16" s="7">
        <v>99</v>
      </c>
      <c r="K16" s="13">
        <f t="shared" si="1"/>
        <v>99</v>
      </c>
      <c r="L16" s="6" t="s">
        <v>105</v>
      </c>
    </row>
    <row r="17" spans="1:12" x14ac:dyDescent="0.25">
      <c r="A17" s="3" t="s">
        <v>131</v>
      </c>
      <c r="B17" s="4" t="s">
        <v>31</v>
      </c>
      <c r="C17" s="5" t="s">
        <v>190</v>
      </c>
      <c r="D17" s="6" t="s">
        <v>13</v>
      </c>
      <c r="E17" s="7">
        <v>105</v>
      </c>
      <c r="F17" s="8">
        <v>1</v>
      </c>
      <c r="G17" s="14">
        <f t="shared" si="0"/>
        <v>9.5238095238095233E-2</v>
      </c>
      <c r="H17" s="5" t="s">
        <v>56</v>
      </c>
      <c r="J17" s="7">
        <v>95</v>
      </c>
      <c r="K17" s="13">
        <f t="shared" si="1"/>
        <v>95</v>
      </c>
      <c r="L17" s="6" t="s">
        <v>101</v>
      </c>
    </row>
    <row r="18" spans="1:12" x14ac:dyDescent="0.25">
      <c r="A18" s="3" t="s">
        <v>132</v>
      </c>
      <c r="B18" s="4" t="s">
        <v>31</v>
      </c>
      <c r="C18" s="5" t="s">
        <v>191</v>
      </c>
      <c r="D18" s="6" t="s">
        <v>9</v>
      </c>
      <c r="E18" s="7">
        <v>92</v>
      </c>
      <c r="F18" s="8">
        <v>2</v>
      </c>
      <c r="G18" s="14">
        <f t="shared" si="0"/>
        <v>0</v>
      </c>
      <c r="H18" s="5" t="s">
        <v>57</v>
      </c>
      <c r="J18" s="7">
        <v>92</v>
      </c>
      <c r="K18" s="13">
        <f t="shared" si="1"/>
        <v>92</v>
      </c>
      <c r="L18" s="6" t="s">
        <v>106</v>
      </c>
    </row>
    <row r="19" spans="1:12" x14ac:dyDescent="0.25">
      <c r="A19" s="3" t="s">
        <v>133</v>
      </c>
      <c r="B19" s="4" t="s">
        <v>31</v>
      </c>
      <c r="C19" s="5" t="s">
        <v>192</v>
      </c>
      <c r="D19" s="6" t="s">
        <v>232</v>
      </c>
      <c r="E19" s="7">
        <v>125</v>
      </c>
      <c r="F19" s="8">
        <v>6</v>
      </c>
      <c r="G19" s="14">
        <f t="shared" si="0"/>
        <v>0.20799999999999996</v>
      </c>
      <c r="H19" s="5" t="s">
        <v>58</v>
      </c>
      <c r="J19" s="7">
        <v>99</v>
      </c>
      <c r="K19" s="13">
        <f t="shared" si="1"/>
        <v>99</v>
      </c>
      <c r="L19" s="6" t="s">
        <v>107</v>
      </c>
    </row>
    <row r="20" spans="1:12" x14ac:dyDescent="0.25">
      <c r="A20" s="3" t="s">
        <v>134</v>
      </c>
      <c r="B20" s="4" t="s">
        <v>31</v>
      </c>
      <c r="C20" s="5" t="s">
        <v>193</v>
      </c>
      <c r="D20" s="6" t="s">
        <v>13</v>
      </c>
      <c r="E20" s="7">
        <v>140</v>
      </c>
      <c r="F20" s="8">
        <v>3</v>
      </c>
      <c r="G20" s="14">
        <f t="shared" si="0"/>
        <v>0.1428571428571429</v>
      </c>
      <c r="H20" s="5" t="s">
        <v>59</v>
      </c>
      <c r="J20" s="7">
        <v>120</v>
      </c>
      <c r="K20" s="13">
        <f t="shared" si="1"/>
        <v>120</v>
      </c>
      <c r="L20" s="6" t="s">
        <v>96</v>
      </c>
    </row>
    <row r="21" spans="1:12" x14ac:dyDescent="0.25">
      <c r="A21" s="3" t="s">
        <v>135</v>
      </c>
      <c r="B21" s="4" t="s">
        <v>31</v>
      </c>
      <c r="C21" s="5" t="s">
        <v>194</v>
      </c>
      <c r="D21" s="6" t="s">
        <v>13</v>
      </c>
      <c r="E21" s="7">
        <v>110</v>
      </c>
      <c r="F21" s="8">
        <v>1</v>
      </c>
      <c r="G21" s="14">
        <f t="shared" si="0"/>
        <v>0.16363636363636369</v>
      </c>
      <c r="H21" s="5" t="s">
        <v>59</v>
      </c>
      <c r="J21" s="7">
        <v>92</v>
      </c>
      <c r="K21" s="13">
        <f t="shared" si="1"/>
        <v>92</v>
      </c>
      <c r="L21" s="6" t="s">
        <v>101</v>
      </c>
    </row>
    <row r="22" spans="1:12" x14ac:dyDescent="0.25">
      <c r="A22" s="3" t="s">
        <v>136</v>
      </c>
      <c r="B22" s="4" t="s">
        <v>31</v>
      </c>
      <c r="C22" s="5" t="s">
        <v>195</v>
      </c>
      <c r="D22" s="6" t="s">
        <v>13</v>
      </c>
      <c r="E22" s="7">
        <v>130</v>
      </c>
      <c r="F22" s="8">
        <v>1</v>
      </c>
      <c r="G22" s="14">
        <f t="shared" si="0"/>
        <v>0.19230769230769229</v>
      </c>
      <c r="H22" s="5" t="s">
        <v>59</v>
      </c>
      <c r="J22" s="7">
        <v>105</v>
      </c>
      <c r="K22" s="13">
        <f t="shared" si="1"/>
        <v>105</v>
      </c>
      <c r="L22" s="6" t="s">
        <v>95</v>
      </c>
    </row>
    <row r="23" spans="1:12" x14ac:dyDescent="0.25">
      <c r="A23" s="3" t="s">
        <v>137</v>
      </c>
      <c r="B23" s="4" t="s">
        <v>32</v>
      </c>
      <c r="C23" s="5" t="s">
        <v>196</v>
      </c>
      <c r="D23" s="6" t="s">
        <v>44</v>
      </c>
      <c r="E23" s="7">
        <v>100</v>
      </c>
      <c r="F23" s="8">
        <v>4</v>
      </c>
      <c r="G23" s="14">
        <f t="shared" si="0"/>
        <v>0</v>
      </c>
      <c r="H23" s="5" t="s">
        <v>60</v>
      </c>
      <c r="J23" s="7">
        <v>100</v>
      </c>
      <c r="K23" s="13">
        <f t="shared" si="1"/>
        <v>100</v>
      </c>
      <c r="L23" s="6" t="s">
        <v>95</v>
      </c>
    </row>
    <row r="24" spans="1:12" x14ac:dyDescent="0.25">
      <c r="A24" s="3" t="s">
        <v>138</v>
      </c>
      <c r="B24" s="4" t="s">
        <v>231</v>
      </c>
      <c r="C24" s="5" t="s">
        <v>197</v>
      </c>
      <c r="D24" s="6" t="s">
        <v>16</v>
      </c>
      <c r="E24" s="7">
        <v>119</v>
      </c>
      <c r="F24" s="8">
        <v>1</v>
      </c>
      <c r="G24" s="14">
        <f t="shared" si="0"/>
        <v>8.4033613445378186E-2</v>
      </c>
      <c r="H24" s="5" t="s">
        <v>61</v>
      </c>
      <c r="J24" s="7">
        <v>109</v>
      </c>
      <c r="K24" s="13">
        <f t="shared" si="1"/>
        <v>109</v>
      </c>
      <c r="L24" s="6" t="s">
        <v>105</v>
      </c>
    </row>
    <row r="25" spans="1:12" x14ac:dyDescent="0.25">
      <c r="A25" s="3" t="s">
        <v>139</v>
      </c>
      <c r="B25" s="4" t="s">
        <v>33</v>
      </c>
      <c r="C25" s="5" t="s">
        <v>198</v>
      </c>
      <c r="D25" s="6" t="s">
        <v>21</v>
      </c>
      <c r="E25" s="7">
        <v>128</v>
      </c>
      <c r="F25" s="8">
        <v>1</v>
      </c>
      <c r="G25" s="14">
        <f t="shared" si="0"/>
        <v>0</v>
      </c>
      <c r="H25" s="5" t="s">
        <v>62</v>
      </c>
      <c r="J25" s="7">
        <v>128</v>
      </c>
      <c r="K25" s="13">
        <f t="shared" si="1"/>
        <v>128</v>
      </c>
      <c r="L25" s="6" t="s">
        <v>120</v>
      </c>
    </row>
    <row r="26" spans="1:12" x14ac:dyDescent="0.25">
      <c r="A26" s="3" t="s">
        <v>140</v>
      </c>
      <c r="B26" s="4" t="s">
        <v>34</v>
      </c>
      <c r="C26" s="5" t="s">
        <v>199</v>
      </c>
      <c r="D26" s="6" t="s">
        <v>21</v>
      </c>
      <c r="E26" s="7">
        <v>26</v>
      </c>
      <c r="F26" s="8">
        <v>2</v>
      </c>
      <c r="G26" s="14">
        <f t="shared" si="0"/>
        <v>0.15384615384615385</v>
      </c>
      <c r="H26" s="5" t="s">
        <v>63</v>
      </c>
      <c r="J26" s="7">
        <v>22</v>
      </c>
      <c r="K26" s="13">
        <f t="shared" si="1"/>
        <v>22</v>
      </c>
      <c r="L26" s="6" t="s">
        <v>117</v>
      </c>
    </row>
    <row r="27" spans="1:12" x14ac:dyDescent="0.25">
      <c r="A27" s="3" t="s">
        <v>141</v>
      </c>
      <c r="B27" s="4" t="s">
        <v>34</v>
      </c>
      <c r="C27" s="5" t="s">
        <v>200</v>
      </c>
      <c r="D27" s="6" t="s">
        <v>21</v>
      </c>
      <c r="E27" s="7">
        <v>109</v>
      </c>
      <c r="F27" s="8">
        <v>1</v>
      </c>
      <c r="G27" s="14">
        <f t="shared" si="0"/>
        <v>0</v>
      </c>
      <c r="H27" s="5" t="s">
        <v>64</v>
      </c>
      <c r="J27" s="7">
        <v>109</v>
      </c>
      <c r="K27" s="13">
        <f t="shared" si="1"/>
        <v>109</v>
      </c>
      <c r="L27" s="6" t="s">
        <v>110</v>
      </c>
    </row>
    <row r="28" spans="1:12" x14ac:dyDescent="0.25">
      <c r="A28" s="3" t="s">
        <v>142</v>
      </c>
      <c r="B28" s="4" t="s">
        <v>34</v>
      </c>
      <c r="C28" s="5" t="s">
        <v>201</v>
      </c>
      <c r="D28" s="6" t="s">
        <v>44</v>
      </c>
      <c r="E28" s="7">
        <v>109</v>
      </c>
      <c r="F28" s="8">
        <v>2</v>
      </c>
      <c r="G28" s="14">
        <f t="shared" si="0"/>
        <v>0</v>
      </c>
      <c r="H28" s="5" t="s">
        <v>65</v>
      </c>
      <c r="J28" s="7">
        <v>109</v>
      </c>
      <c r="K28" s="13">
        <f t="shared" si="1"/>
        <v>109</v>
      </c>
      <c r="L28" s="6" t="s">
        <v>119</v>
      </c>
    </row>
    <row r="29" spans="1:12" x14ac:dyDescent="0.25">
      <c r="A29" s="3" t="s">
        <v>143</v>
      </c>
      <c r="B29" s="4" t="s">
        <v>35</v>
      </c>
      <c r="C29" s="5" t="s">
        <v>47</v>
      </c>
      <c r="D29" s="6" t="s">
        <v>45</v>
      </c>
      <c r="E29" s="7">
        <v>25</v>
      </c>
      <c r="F29" s="8">
        <v>10</v>
      </c>
      <c r="G29" s="14">
        <f t="shared" si="0"/>
        <v>0.19999999999999996</v>
      </c>
      <c r="H29" s="5" t="s">
        <v>66</v>
      </c>
      <c r="J29" s="7">
        <v>20</v>
      </c>
      <c r="K29" s="13">
        <f t="shared" si="1"/>
        <v>20</v>
      </c>
      <c r="L29" s="6"/>
    </row>
    <row r="30" spans="1:12" x14ac:dyDescent="0.25">
      <c r="A30" s="3" t="s">
        <v>144</v>
      </c>
      <c r="B30" s="4" t="s">
        <v>35</v>
      </c>
      <c r="C30" s="5" t="s">
        <v>202</v>
      </c>
      <c r="D30" s="6" t="s">
        <v>24</v>
      </c>
      <c r="E30" s="7">
        <v>102</v>
      </c>
      <c r="F30" s="8">
        <v>1</v>
      </c>
      <c r="G30" s="14">
        <f t="shared" si="0"/>
        <v>0</v>
      </c>
      <c r="H30" s="5" t="s">
        <v>67</v>
      </c>
      <c r="J30" s="7">
        <v>102</v>
      </c>
      <c r="K30" s="13">
        <f t="shared" si="1"/>
        <v>102</v>
      </c>
      <c r="L30" s="6" t="s">
        <v>118</v>
      </c>
    </row>
    <row r="31" spans="1:12" x14ac:dyDescent="0.25">
      <c r="A31" s="3" t="s">
        <v>145</v>
      </c>
      <c r="B31" s="4" t="s">
        <v>35</v>
      </c>
      <c r="C31" s="5" t="s">
        <v>204</v>
      </c>
      <c r="D31" s="6" t="s">
        <v>44</v>
      </c>
      <c r="E31" s="7">
        <v>120</v>
      </c>
      <c r="F31" s="8">
        <v>2</v>
      </c>
      <c r="G31" s="14">
        <f t="shared" si="0"/>
        <v>9.1666666666666674E-2</v>
      </c>
      <c r="H31" s="5" t="s">
        <v>68</v>
      </c>
      <c r="J31" s="7">
        <v>109</v>
      </c>
      <c r="K31" s="13">
        <f t="shared" si="1"/>
        <v>109</v>
      </c>
      <c r="L31" s="6" t="s">
        <v>95</v>
      </c>
    </row>
    <row r="32" spans="1:12" x14ac:dyDescent="0.25">
      <c r="A32" s="3" t="s">
        <v>146</v>
      </c>
      <c r="B32" s="4" t="s">
        <v>35</v>
      </c>
      <c r="C32" s="5" t="s">
        <v>203</v>
      </c>
      <c r="D32" s="6" t="s">
        <v>13</v>
      </c>
      <c r="E32" s="7">
        <v>125</v>
      </c>
      <c r="F32" s="8">
        <v>4</v>
      </c>
      <c r="G32" s="14">
        <f t="shared" si="0"/>
        <v>0.19999999999999996</v>
      </c>
      <c r="H32" s="5" t="s">
        <v>69</v>
      </c>
      <c r="J32" s="7">
        <v>100</v>
      </c>
      <c r="K32" s="13">
        <f t="shared" si="1"/>
        <v>100</v>
      </c>
      <c r="L32" s="6" t="s">
        <v>96</v>
      </c>
    </row>
    <row r="33" spans="1:12" x14ac:dyDescent="0.25">
      <c r="A33" s="3" t="s">
        <v>147</v>
      </c>
      <c r="B33" s="4" t="s">
        <v>35</v>
      </c>
      <c r="C33" s="5" t="s">
        <v>205</v>
      </c>
      <c r="D33" s="6" t="s">
        <v>44</v>
      </c>
      <c r="E33" s="7">
        <v>115</v>
      </c>
      <c r="F33" s="8">
        <v>2</v>
      </c>
      <c r="G33" s="14">
        <f t="shared" si="0"/>
        <v>4.3478260869565188E-2</v>
      </c>
      <c r="H33" s="5" t="s">
        <v>70</v>
      </c>
      <c r="J33" s="7">
        <v>110</v>
      </c>
      <c r="K33" s="13">
        <f t="shared" si="1"/>
        <v>110</v>
      </c>
      <c r="L33" s="6" t="s">
        <v>95</v>
      </c>
    </row>
    <row r="34" spans="1:12" x14ac:dyDescent="0.25">
      <c r="A34" s="3" t="s">
        <v>148</v>
      </c>
      <c r="B34" s="4" t="s">
        <v>36</v>
      </c>
      <c r="C34" s="5" t="s">
        <v>206</v>
      </c>
      <c r="D34" s="6" t="s">
        <v>13</v>
      </c>
      <c r="E34" s="7">
        <v>110</v>
      </c>
      <c r="F34" s="8">
        <v>1</v>
      </c>
      <c r="G34" s="14">
        <f t="shared" si="0"/>
        <v>0.18181818181818177</v>
      </c>
      <c r="H34" s="5" t="s">
        <v>71</v>
      </c>
      <c r="J34" s="7">
        <v>90</v>
      </c>
      <c r="K34" s="13">
        <f t="shared" si="1"/>
        <v>90</v>
      </c>
      <c r="L34" s="6" t="s">
        <v>101</v>
      </c>
    </row>
    <row r="35" spans="1:12" x14ac:dyDescent="0.25">
      <c r="A35" s="3" t="s">
        <v>149</v>
      </c>
      <c r="B35" s="4" t="s">
        <v>37</v>
      </c>
      <c r="C35" s="5" t="s">
        <v>207</v>
      </c>
      <c r="D35" s="6" t="s">
        <v>13</v>
      </c>
      <c r="E35" s="7">
        <v>120</v>
      </c>
      <c r="F35" s="8">
        <v>1</v>
      </c>
      <c r="G35" s="14">
        <f t="shared" si="0"/>
        <v>0.19999999999999996</v>
      </c>
      <c r="H35" s="5" t="s">
        <v>72</v>
      </c>
      <c r="J35" s="7">
        <v>96</v>
      </c>
      <c r="K35" s="13">
        <f t="shared" si="1"/>
        <v>96</v>
      </c>
      <c r="L35" s="6" t="s">
        <v>116</v>
      </c>
    </row>
    <row r="36" spans="1:12" x14ac:dyDescent="0.25">
      <c r="A36" s="3" t="s">
        <v>150</v>
      </c>
      <c r="B36" s="4" t="s">
        <v>37</v>
      </c>
      <c r="C36" s="5" t="s">
        <v>208</v>
      </c>
      <c r="D36" s="6" t="s">
        <v>44</v>
      </c>
      <c r="E36" s="7">
        <v>110</v>
      </c>
      <c r="F36" s="8">
        <v>4</v>
      </c>
      <c r="G36" s="14">
        <f t="shared" si="0"/>
        <v>9.9999999999999978E-2</v>
      </c>
      <c r="H36" s="5" t="s">
        <v>73</v>
      </c>
      <c r="J36" s="7">
        <v>99</v>
      </c>
      <c r="K36" s="13">
        <f t="shared" si="1"/>
        <v>99</v>
      </c>
      <c r="L36" s="6" t="s">
        <v>96</v>
      </c>
    </row>
    <row r="37" spans="1:12" x14ac:dyDescent="0.25">
      <c r="A37" s="3" t="s">
        <v>151</v>
      </c>
      <c r="B37" s="4" t="s">
        <v>38</v>
      </c>
      <c r="C37" s="5" t="s">
        <v>172</v>
      </c>
      <c r="D37" s="6" t="s">
        <v>9</v>
      </c>
      <c r="E37" s="7">
        <v>105</v>
      </c>
      <c r="F37" s="8">
        <v>1</v>
      </c>
      <c r="G37" s="14">
        <f t="shared" si="0"/>
        <v>9.5238095238095233E-2</v>
      </c>
      <c r="H37" s="5" t="s">
        <v>74</v>
      </c>
      <c r="J37" s="7">
        <v>95</v>
      </c>
      <c r="K37" s="13">
        <f t="shared" si="1"/>
        <v>95</v>
      </c>
      <c r="L37" s="6"/>
    </row>
    <row r="38" spans="1:12" x14ac:dyDescent="0.25">
      <c r="A38" s="3" t="s">
        <v>152</v>
      </c>
      <c r="B38" s="4" t="s">
        <v>39</v>
      </c>
      <c r="C38" s="5" t="s">
        <v>209</v>
      </c>
      <c r="D38" s="6" t="s">
        <v>232</v>
      </c>
      <c r="E38" s="7">
        <v>120</v>
      </c>
      <c r="F38" s="8">
        <v>4</v>
      </c>
      <c r="G38" s="14">
        <f t="shared" si="0"/>
        <v>0.17500000000000004</v>
      </c>
      <c r="H38" s="5" t="s">
        <v>75</v>
      </c>
      <c r="J38" s="7">
        <v>99</v>
      </c>
      <c r="K38" s="13">
        <f t="shared" si="1"/>
        <v>99</v>
      </c>
      <c r="L38" s="6" t="s">
        <v>101</v>
      </c>
    </row>
    <row r="39" spans="1:12" x14ac:dyDescent="0.25">
      <c r="A39" s="3" t="s">
        <v>153</v>
      </c>
      <c r="B39" s="4" t="s">
        <v>39</v>
      </c>
      <c r="C39" s="5" t="s">
        <v>210</v>
      </c>
      <c r="D39" s="6" t="s">
        <v>13</v>
      </c>
      <c r="E39" s="7">
        <v>115</v>
      </c>
      <c r="F39" s="8">
        <v>1</v>
      </c>
      <c r="G39" s="14">
        <f t="shared" si="0"/>
        <v>8.6956521739130488E-2</v>
      </c>
      <c r="H39" s="5" t="s">
        <v>76</v>
      </c>
      <c r="J39" s="7">
        <v>105</v>
      </c>
      <c r="K39" s="13">
        <f t="shared" si="1"/>
        <v>105</v>
      </c>
      <c r="L39" s="6" t="s">
        <v>101</v>
      </c>
    </row>
    <row r="40" spans="1:12" x14ac:dyDescent="0.25">
      <c r="A40" s="3" t="s">
        <v>154</v>
      </c>
      <c r="B40" s="4" t="s">
        <v>40</v>
      </c>
      <c r="C40" s="5" t="s">
        <v>211</v>
      </c>
      <c r="D40" s="6" t="s">
        <v>24</v>
      </c>
      <c r="E40" s="7">
        <v>74</v>
      </c>
      <c r="F40" s="8">
        <v>2</v>
      </c>
      <c r="G40" s="14">
        <f t="shared" si="0"/>
        <v>0</v>
      </c>
      <c r="H40" s="5" t="s">
        <v>77</v>
      </c>
      <c r="J40" s="7">
        <v>74</v>
      </c>
      <c r="K40" s="13">
        <f t="shared" si="1"/>
        <v>74</v>
      </c>
      <c r="L40" s="6" t="s">
        <v>109</v>
      </c>
    </row>
    <row r="41" spans="1:12" x14ac:dyDescent="0.25">
      <c r="A41" s="3" t="s">
        <v>155</v>
      </c>
      <c r="B41" s="4" t="s">
        <v>40</v>
      </c>
      <c r="C41" s="5" t="s">
        <v>212</v>
      </c>
      <c r="D41" s="6" t="s">
        <v>44</v>
      </c>
      <c r="E41" s="7">
        <v>115</v>
      </c>
      <c r="F41" s="8">
        <v>1</v>
      </c>
      <c r="G41" s="14">
        <f t="shared" si="0"/>
        <v>0.19999999999999996</v>
      </c>
      <c r="H41" s="5" t="s">
        <v>78</v>
      </c>
      <c r="J41" s="7">
        <v>92</v>
      </c>
      <c r="K41" s="13">
        <f t="shared" si="1"/>
        <v>92</v>
      </c>
      <c r="L41" s="6" t="s">
        <v>110</v>
      </c>
    </row>
    <row r="42" spans="1:12" x14ac:dyDescent="0.25">
      <c r="A42" s="3" t="s">
        <v>156</v>
      </c>
      <c r="B42" s="4" t="s">
        <v>40</v>
      </c>
      <c r="C42" s="5" t="s">
        <v>213</v>
      </c>
      <c r="D42" s="6" t="s">
        <v>9</v>
      </c>
      <c r="E42" s="7">
        <v>100</v>
      </c>
      <c r="F42" s="8">
        <v>3</v>
      </c>
      <c r="G42" s="14">
        <f t="shared" si="0"/>
        <v>0.15000000000000002</v>
      </c>
      <c r="H42" s="5" t="s">
        <v>79</v>
      </c>
      <c r="J42" s="7">
        <v>85</v>
      </c>
      <c r="K42" s="13">
        <f t="shared" si="1"/>
        <v>85</v>
      </c>
      <c r="L42" s="6" t="s">
        <v>95</v>
      </c>
    </row>
    <row r="43" spans="1:12" x14ac:dyDescent="0.25">
      <c r="A43" s="3" t="s">
        <v>157</v>
      </c>
      <c r="B43" s="4" t="s">
        <v>40</v>
      </c>
      <c r="C43" s="5" t="s">
        <v>214</v>
      </c>
      <c r="D43" s="6" t="s">
        <v>45</v>
      </c>
      <c r="E43" s="7">
        <v>135</v>
      </c>
      <c r="F43" s="8">
        <v>2</v>
      </c>
      <c r="G43" s="14">
        <f t="shared" si="0"/>
        <v>9.6296296296296324E-2</v>
      </c>
      <c r="H43" s="5" t="s">
        <v>48</v>
      </c>
      <c r="J43" s="7">
        <v>122</v>
      </c>
      <c r="K43" s="13">
        <f t="shared" si="1"/>
        <v>122</v>
      </c>
      <c r="L43" s="6" t="s">
        <v>115</v>
      </c>
    </row>
    <row r="44" spans="1:12" x14ac:dyDescent="0.25">
      <c r="A44" s="3" t="s">
        <v>158</v>
      </c>
      <c r="B44" s="4" t="s">
        <v>40</v>
      </c>
      <c r="C44" s="5" t="s">
        <v>215</v>
      </c>
      <c r="D44" s="6" t="s">
        <v>44</v>
      </c>
      <c r="E44" s="7">
        <v>110</v>
      </c>
      <c r="F44" s="8">
        <v>2</v>
      </c>
      <c r="G44" s="14">
        <f t="shared" si="0"/>
        <v>0.16363636363636369</v>
      </c>
      <c r="H44" s="5" t="s">
        <v>80</v>
      </c>
      <c r="J44" s="7">
        <v>92</v>
      </c>
      <c r="K44" s="13">
        <f t="shared" si="1"/>
        <v>92</v>
      </c>
      <c r="L44" s="6" t="s">
        <v>110</v>
      </c>
    </row>
    <row r="45" spans="1:12" x14ac:dyDescent="0.25">
      <c r="A45" s="3" t="s">
        <v>159</v>
      </c>
      <c r="B45" s="4" t="s">
        <v>40</v>
      </c>
      <c r="C45" s="5" t="s">
        <v>216</v>
      </c>
      <c r="D45" s="6" t="s">
        <v>13</v>
      </c>
      <c r="E45" s="7">
        <v>62.5</v>
      </c>
      <c r="F45" s="8">
        <v>5</v>
      </c>
      <c r="G45" s="14">
        <f t="shared" si="0"/>
        <v>0.19999999999999996</v>
      </c>
      <c r="H45" s="5" t="s">
        <v>81</v>
      </c>
      <c r="J45" s="7">
        <v>50</v>
      </c>
      <c r="K45" s="13">
        <f t="shared" si="1"/>
        <v>50</v>
      </c>
      <c r="L45" s="6" t="s">
        <v>101</v>
      </c>
    </row>
    <row r="46" spans="1:12" x14ac:dyDescent="0.25">
      <c r="A46" s="3" t="s">
        <v>160</v>
      </c>
      <c r="B46" s="4" t="s">
        <v>40</v>
      </c>
      <c r="C46" s="5" t="s">
        <v>217</v>
      </c>
      <c r="D46" s="6" t="s">
        <v>16</v>
      </c>
      <c r="E46" s="7">
        <v>105</v>
      </c>
      <c r="F46" s="8">
        <v>2</v>
      </c>
      <c r="G46" s="14">
        <f t="shared" si="0"/>
        <v>0</v>
      </c>
      <c r="H46" s="5" t="s">
        <v>82</v>
      </c>
      <c r="J46" s="7">
        <v>105</v>
      </c>
      <c r="K46" s="13">
        <f t="shared" si="1"/>
        <v>105</v>
      </c>
      <c r="L46" s="6" t="s">
        <v>108</v>
      </c>
    </row>
    <row r="47" spans="1:12" x14ac:dyDescent="0.25">
      <c r="A47" s="3" t="s">
        <v>161</v>
      </c>
      <c r="B47" s="4" t="s">
        <v>40</v>
      </c>
      <c r="C47" s="5" t="s">
        <v>218</v>
      </c>
      <c r="D47" s="6" t="s">
        <v>24</v>
      </c>
      <c r="E47" s="7">
        <v>82</v>
      </c>
      <c r="F47" s="8">
        <v>3</v>
      </c>
      <c r="G47" s="14">
        <f t="shared" si="0"/>
        <v>9.7560975609756073E-2</v>
      </c>
      <c r="H47" s="5" t="s">
        <v>83</v>
      </c>
      <c r="J47" s="7">
        <v>74</v>
      </c>
      <c r="K47" s="13">
        <f t="shared" si="1"/>
        <v>74</v>
      </c>
      <c r="L47" s="6" t="s">
        <v>109</v>
      </c>
    </row>
    <row r="48" spans="1:12" x14ac:dyDescent="0.25">
      <c r="A48" s="3" t="s">
        <v>162</v>
      </c>
      <c r="B48" s="4" t="s">
        <v>40</v>
      </c>
      <c r="C48" s="5" t="s">
        <v>219</v>
      </c>
      <c r="D48" s="6" t="s">
        <v>232</v>
      </c>
      <c r="E48" s="7">
        <v>99</v>
      </c>
      <c r="F48" s="8">
        <v>1</v>
      </c>
      <c r="G48" s="14">
        <f t="shared" si="0"/>
        <v>0.15151515151515149</v>
      </c>
      <c r="H48" s="5" t="s">
        <v>84</v>
      </c>
      <c r="J48" s="7">
        <v>84</v>
      </c>
      <c r="K48" s="13">
        <f t="shared" si="1"/>
        <v>84</v>
      </c>
      <c r="L48" s="6" t="s">
        <v>111</v>
      </c>
    </row>
    <row r="49" spans="1:12" x14ac:dyDescent="0.25">
      <c r="A49" s="3" t="s">
        <v>163</v>
      </c>
      <c r="B49" s="4" t="s">
        <v>40</v>
      </c>
      <c r="C49" s="5" t="s">
        <v>220</v>
      </c>
      <c r="D49" s="6" t="s">
        <v>16</v>
      </c>
      <c r="E49" s="7">
        <v>115</v>
      </c>
      <c r="F49" s="8">
        <v>2</v>
      </c>
      <c r="G49" s="14">
        <f t="shared" si="0"/>
        <v>0.13043478260869568</v>
      </c>
      <c r="H49" s="5" t="s">
        <v>85</v>
      </c>
      <c r="J49" s="7">
        <v>100</v>
      </c>
      <c r="K49" s="13">
        <f t="shared" si="1"/>
        <v>100</v>
      </c>
      <c r="L49" s="6" t="s">
        <v>108</v>
      </c>
    </row>
    <row r="50" spans="1:12" x14ac:dyDescent="0.25">
      <c r="A50" s="3" t="s">
        <v>164</v>
      </c>
      <c r="B50" s="4" t="s">
        <v>40</v>
      </c>
      <c r="C50" s="5" t="s">
        <v>221</v>
      </c>
      <c r="D50" s="6" t="s">
        <v>13</v>
      </c>
      <c r="E50" s="7">
        <v>62.5</v>
      </c>
      <c r="F50" s="8">
        <v>1</v>
      </c>
      <c r="G50" s="14">
        <f t="shared" si="0"/>
        <v>0.19999999999999996</v>
      </c>
      <c r="H50" s="5" t="s">
        <v>86</v>
      </c>
      <c r="J50" s="7">
        <v>50</v>
      </c>
      <c r="K50" s="13">
        <f t="shared" si="1"/>
        <v>50</v>
      </c>
      <c r="L50" s="6" t="s">
        <v>101</v>
      </c>
    </row>
    <row r="51" spans="1:12" x14ac:dyDescent="0.25">
      <c r="A51" s="3" t="s">
        <v>165</v>
      </c>
      <c r="B51" s="4" t="s">
        <v>40</v>
      </c>
      <c r="C51" s="5" t="s">
        <v>222</v>
      </c>
      <c r="D51" s="6" t="s">
        <v>9</v>
      </c>
      <c r="E51" s="7">
        <v>99</v>
      </c>
      <c r="F51" s="8">
        <v>2</v>
      </c>
      <c r="G51" s="14">
        <f t="shared" si="0"/>
        <v>0.10101010101010099</v>
      </c>
      <c r="H51" s="5" t="s">
        <v>87</v>
      </c>
      <c r="J51" s="7">
        <v>89</v>
      </c>
      <c r="K51" s="13">
        <f t="shared" si="1"/>
        <v>89</v>
      </c>
      <c r="L51" s="6" t="s">
        <v>95</v>
      </c>
    </row>
    <row r="52" spans="1:12" x14ac:dyDescent="0.25">
      <c r="A52" s="3" t="s">
        <v>166</v>
      </c>
      <c r="B52" s="4" t="s">
        <v>41</v>
      </c>
      <c r="C52" s="5" t="s">
        <v>223</v>
      </c>
      <c r="D52" s="6" t="s">
        <v>9</v>
      </c>
      <c r="E52" s="7">
        <v>99</v>
      </c>
      <c r="F52" s="8">
        <v>2</v>
      </c>
      <c r="G52" s="14">
        <f t="shared" si="0"/>
        <v>0.10101010101010099</v>
      </c>
      <c r="H52" s="5" t="s">
        <v>88</v>
      </c>
      <c r="J52" s="7">
        <v>89</v>
      </c>
      <c r="K52" s="13">
        <f t="shared" si="1"/>
        <v>89</v>
      </c>
      <c r="L52" s="6" t="s">
        <v>95</v>
      </c>
    </row>
    <row r="53" spans="1:12" x14ac:dyDescent="0.25">
      <c r="A53" s="3" t="s">
        <v>167</v>
      </c>
      <c r="B53" s="4" t="s">
        <v>41</v>
      </c>
      <c r="C53" s="5" t="s">
        <v>224</v>
      </c>
      <c r="D53" s="6" t="s">
        <v>43</v>
      </c>
      <c r="E53" s="7">
        <v>65</v>
      </c>
      <c r="F53" s="8">
        <v>3</v>
      </c>
      <c r="G53" s="14">
        <f t="shared" si="0"/>
        <v>0.10769230769230764</v>
      </c>
      <c r="H53" s="5" t="s">
        <v>89</v>
      </c>
      <c r="J53" s="7">
        <v>58</v>
      </c>
      <c r="K53" s="13">
        <f t="shared" si="1"/>
        <v>58</v>
      </c>
      <c r="L53" s="6" t="s">
        <v>112</v>
      </c>
    </row>
    <row r="54" spans="1:12" x14ac:dyDescent="0.25">
      <c r="A54" s="3" t="s">
        <v>168</v>
      </c>
      <c r="B54" s="4" t="s">
        <v>41</v>
      </c>
      <c r="C54" s="5" t="s">
        <v>225</v>
      </c>
      <c r="D54" s="6" t="s">
        <v>24</v>
      </c>
      <c r="E54" s="7">
        <v>85</v>
      </c>
      <c r="F54" s="8">
        <v>2</v>
      </c>
      <c r="G54" s="14">
        <f t="shared" si="0"/>
        <v>8.2352941176470629E-2</v>
      </c>
      <c r="H54" s="5" t="s">
        <v>90</v>
      </c>
      <c r="J54" s="7">
        <v>78</v>
      </c>
      <c r="K54" s="13">
        <f t="shared" si="1"/>
        <v>78</v>
      </c>
      <c r="L54" s="6" t="s">
        <v>105</v>
      </c>
    </row>
    <row r="55" spans="1:12" x14ac:dyDescent="0.25">
      <c r="A55" s="3" t="s">
        <v>169</v>
      </c>
      <c r="B55" s="4" t="s">
        <v>42</v>
      </c>
      <c r="C55" s="5" t="s">
        <v>173</v>
      </c>
      <c r="D55" s="6" t="s">
        <v>43</v>
      </c>
      <c r="E55" s="7">
        <v>89</v>
      </c>
      <c r="F55" s="8">
        <v>3</v>
      </c>
      <c r="G55" s="14">
        <f t="shared" si="0"/>
        <v>0</v>
      </c>
      <c r="H55" s="5" t="s">
        <v>92</v>
      </c>
      <c r="J55" s="7">
        <v>89</v>
      </c>
      <c r="K55" s="13">
        <f t="shared" si="1"/>
        <v>89</v>
      </c>
      <c r="L55" s="6" t="s">
        <v>113</v>
      </c>
    </row>
    <row r="56" spans="1:12" x14ac:dyDescent="0.25">
      <c r="A56" s="3" t="s">
        <v>170</v>
      </c>
      <c r="B56" s="4" t="s">
        <v>42</v>
      </c>
      <c r="C56" s="5" t="s">
        <v>174</v>
      </c>
      <c r="D56" s="6" t="s">
        <v>43</v>
      </c>
      <c r="E56" s="7">
        <v>58</v>
      </c>
      <c r="F56" s="8">
        <v>3</v>
      </c>
      <c r="G56" s="14">
        <f t="shared" si="0"/>
        <v>0.10344827586206895</v>
      </c>
      <c r="H56" s="5" t="s">
        <v>93</v>
      </c>
      <c r="J56" s="7">
        <v>52</v>
      </c>
      <c r="K56" s="13">
        <f t="shared" si="1"/>
        <v>52</v>
      </c>
      <c r="L56" s="6" t="s">
        <v>121</v>
      </c>
    </row>
    <row r="57" spans="1:12" x14ac:dyDescent="0.25">
      <c r="A57" s="3" t="s">
        <v>171</v>
      </c>
      <c r="B57" s="4" t="s">
        <v>41</v>
      </c>
      <c r="C57" s="5" t="s">
        <v>175</v>
      </c>
      <c r="D57" s="6" t="s">
        <v>9</v>
      </c>
      <c r="E57" s="7">
        <v>169</v>
      </c>
      <c r="F57" s="8">
        <v>1</v>
      </c>
      <c r="G57" s="14">
        <f t="shared" si="0"/>
        <v>0.1775147928994083</v>
      </c>
      <c r="H57" s="5" t="s">
        <v>91</v>
      </c>
      <c r="J57" s="7">
        <v>139</v>
      </c>
      <c r="K57" s="13">
        <f t="shared" si="1"/>
        <v>139</v>
      </c>
      <c r="L57" s="6" t="s">
        <v>114</v>
      </c>
    </row>
  </sheetData>
  <autoFilter ref="A1:H57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Mikado Skincare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</cp:lastModifiedBy>
  <dcterms:created xsi:type="dcterms:W3CDTF">2026-07-23T22:45:57Z</dcterms:created>
  <dcterms:modified xsi:type="dcterms:W3CDTF">2026-07-29T02:33:45Z</dcterms:modified>
</cp:coreProperties>
</file>